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A\"/>
    </mc:Choice>
  </mc:AlternateContent>
  <xr:revisionPtr revIDLastSave="0" documentId="13_ncr:1_{B0AF9FC9-DEAD-4FF5-990F-6EB035EBC4F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Data" sheetId="1" r:id="rId1"/>
    <sheet name="charts_command" sheetId="2" r:id="rId2"/>
    <sheet name="conditions" sheetId="3" r:id="rId3"/>
    <sheet name="LOOKUP" sheetId="4" r:id="rId4"/>
  </sheets>
  <definedNames>
    <definedName name="_xlnm._FilterDatabase" localSheetId="3" hidden="1">LOOKUP!$A$1:$D$8</definedName>
    <definedName name="_xlnm.Criteria" localSheetId="3">LOOKUP!$A$20:$B$20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4" l="1"/>
  <c r="C7" i="4"/>
  <c r="C4" i="4"/>
  <c r="C10" i="4" s="1"/>
  <c r="D16" i="4"/>
  <c r="D15" i="4"/>
  <c r="D14" i="4"/>
  <c r="D12" i="4"/>
  <c r="C9" i="3"/>
  <c r="D8" i="3"/>
  <c r="C8" i="3"/>
  <c r="D7" i="3"/>
  <c r="C7" i="3"/>
  <c r="H3" i="3"/>
  <c r="H4" i="3"/>
  <c r="H5" i="3"/>
  <c r="H6" i="3"/>
  <c r="H2" i="3"/>
  <c r="G3" i="3" a="1"/>
  <c r="G3" i="3" s="1"/>
  <c r="G4" i="3" a="1"/>
  <c r="G4" i="3"/>
  <c r="G5" i="3" a="1"/>
  <c r="G5" i="3"/>
  <c r="G6" i="3" a="1"/>
  <c r="G6" i="3" s="1"/>
  <c r="G2" i="3" a="1"/>
  <c r="G2" i="3"/>
  <c r="F3" i="3" a="1"/>
  <c r="F3" i="3" s="1"/>
  <c r="F4" i="3" a="1"/>
  <c r="F4" i="3" s="1"/>
  <c r="F5" i="3" a="1"/>
  <c r="F5" i="3"/>
  <c r="F6" i="3" a="1"/>
  <c r="F6" i="3" s="1"/>
  <c r="F2" i="3" a="1"/>
  <c r="F2" i="3" s="1"/>
  <c r="E3" i="3"/>
  <c r="E4" i="3"/>
  <c r="E5" i="3"/>
  <c r="E6" i="3"/>
  <c r="E2" i="3"/>
  <c r="H2" i="2"/>
  <c r="H3" i="2"/>
  <c r="H4" i="2"/>
  <c r="H5" i="2"/>
  <c r="H6" i="2"/>
  <c r="B19" i="2"/>
  <c r="B18" i="2"/>
  <c r="B15" i="2"/>
  <c r="B14" i="2"/>
  <c r="B13" i="2"/>
  <c r="B11" i="2"/>
  <c r="B10" i="2"/>
  <c r="B17" i="2" s="1"/>
  <c r="B9" i="2"/>
  <c r="B16" i="2" s="1"/>
  <c r="D1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<sst xmlns="http://schemas.openxmlformats.org/spreadsheetml/2006/main" count="109" uniqueCount="68">
  <si>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</si>
  <si>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</si>
  <si>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</si>
  <si>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</si>
  <si>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</si>
  <si>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</si>
  <si>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</si>
  <si>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</si>
  <si>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</si>
  <si>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</si>
  <si>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</si>
  <si>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</si>
  <si>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</si>
  <si>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Eva White</t>
  </si>
  <si>
    <t>john@example.com</t>
  </si>
  <si>
    <t>jane@example.com</t>
  </si>
  <si>
    <t>alice@example.com</t>
  </si>
  <si>
    <t>eva@example.com</t>
  </si>
  <si>
    <t>Sales</t>
  </si>
  <si>
    <t>Marketing</t>
  </si>
  <si>
    <t>HR</t>
  </si>
  <si>
    <t>Bob@example.com</t>
  </si>
  <si>
    <t>Bob Brown</t>
  </si>
  <si>
    <t>john</t>
  </si>
  <si>
    <t>jane</t>
  </si>
  <si>
    <t>alice</t>
  </si>
  <si>
    <t>Bob</t>
  </si>
  <si>
    <t>eva</t>
  </si>
  <si>
    <t>name</t>
  </si>
  <si>
    <t xml:space="preserve">today </t>
  </si>
  <si>
    <t>Yesterday</t>
  </si>
  <si>
    <t>tomorrow</t>
  </si>
  <si>
    <t>year</t>
  </si>
  <si>
    <t>time example:</t>
  </si>
  <si>
    <t>hour</t>
  </si>
  <si>
    <t>min</t>
  </si>
  <si>
    <t>second</t>
  </si>
  <si>
    <t>month</t>
  </si>
  <si>
    <t>basic command</t>
  </si>
  <si>
    <t>datediff</t>
  </si>
  <si>
    <t>time</t>
  </si>
  <si>
    <t>date</t>
  </si>
  <si>
    <t>networking days</t>
  </si>
  <si>
    <t>Project Duration</t>
  </si>
  <si>
    <t>Salary status</t>
  </si>
  <si>
    <t>Rating</t>
  </si>
  <si>
    <t>Rating info name</t>
  </si>
  <si>
    <t>excellent</t>
  </si>
  <si>
    <t>good</t>
  </si>
  <si>
    <t>avg</t>
  </si>
  <si>
    <t>fine</t>
  </si>
  <si>
    <t>poor</t>
  </si>
  <si>
    <t>Perfomance</t>
  </si>
  <si>
    <t>Performance</t>
  </si>
  <si>
    <t>Bonus</t>
  </si>
  <si>
    <t>sum</t>
  </si>
  <si>
    <t>product</t>
  </si>
  <si>
    <t>salary of john doe(Xlookup)</t>
  </si>
  <si>
    <t>salary of 3rs row(HLookup)</t>
  </si>
  <si>
    <t>salary of john doe(VLookup)</t>
  </si>
  <si>
    <t>index match of jane smith</t>
  </si>
  <si>
    <t>save balance</t>
  </si>
  <si>
    <t>salary around 52000</t>
  </si>
  <si>
    <t>GROUPING</t>
  </si>
  <si>
    <t>Grand Total</t>
  </si>
  <si>
    <t>Marketing Total</t>
  </si>
  <si>
    <t>Sales Total</t>
  </si>
  <si>
    <t>HR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</si>
</sst>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charts_command!$F$1</c:f>
              <c:strCache>
                <c:ptCount val="1"/>
                <c:pt idx="0">
                  <c:v>Project 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charts_command!$A$2:$A$6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charts_command!$F$2:$F$6</c:f>
              <c:numCache>
                <c:formatCode>m/d/yyyy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0-41F8-AED2-434066AE86BE}"/>
            </c:ext>
          </c:extLst>
        </c:ser>
        <c:ser>
          <c:idx val="1"/>
          <c:order val="1"/>
          <c:tx>
            <c:strRef>
              <c:f>charts_command!$G$1</c:f>
              <c:strCache>
                <c:ptCount val="1"/>
                <c:pt idx="0">
                  <c:v>Project 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charts_command!$A$2:$A$6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charts_command!$G$2:$G$6</c:f>
              <c:numCache>
                <c:formatCode>m/d/yyyy</c:formatCode>
                <c:ptCount val="5"/>
                <c:pt idx="0">
                  <c:v>45458</c:v>
                </c:pt>
                <c:pt idx="1">
                  <c:v>45461</c:v>
                </c:pt>
                <c:pt idx="2">
                  <c:v>45463</c:v>
                </c:pt>
                <c:pt idx="3">
                  <c:v>45468</c:v>
                </c:pt>
                <c:pt idx="4">
                  <c:v>45473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0-41F8-AED2-434066AE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6132783"/>
        <c:axId val="1076323183"/>
      </c:barChart>
      <c:catAx>
        <c:axId val="108613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323183"/>
        <c:crosses val="autoZero"/>
        <c:auto val="0"/>
        <c:lblAlgn val="ctr"/>
        <c:lblOffset val="100"/>
        <c:noMultiLvlLbl val="0"/>
      </c:catAx>
      <c:valAx>
        <c:axId val="107632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32783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charts_command!$A$1</c:f>
              <c:strCache>
                <c:ptCount val="1"/>
                <c:pt idx="0">
                  <c:v>Full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charts_command!$A$2:$A$6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charts_command!$G$2:$G$6</c:f>
              <c:numCache>
                <c:formatCode>m/d/yyyy</c:formatCode>
                <c:ptCount val="5"/>
                <c:pt idx="0">
                  <c:v>45458</c:v>
                </c:pt>
                <c:pt idx="1">
                  <c:v>45461</c:v>
                </c:pt>
                <c:pt idx="2">
                  <c:v>45463</c:v>
                </c:pt>
                <c:pt idx="3">
                  <c:v>45468</c:v>
                </c:pt>
                <c:pt idx="4">
                  <c:v>45473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DA-40CA-A754-4E4006FC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6223983"/>
        <c:axId val="1076291983"/>
      </c:barChart>
      <c:catAx>
        <c:axId val="108622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91983"/>
        <c:crosses val="autoZero"/>
        <c:auto val="1"/>
        <c:lblAlgn val="ctr"/>
        <c:lblOffset val="100"/>
        <c:noMultiLvlLbl val="0"/>
      </c:catAx>
      <c:valAx>
        <c:axId val="107629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2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19</xdr:row>
      <xdr:rowOff>163830</xdr:rowOff>
    </xdr:from>
    <xdr:to>
      <xdr:col>4</xdr:col>
      <xdr:colOff>510540</xdr:colOff>
      <xdr:row>34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A37410-2F85-CBDC-11D7-7A5D52084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160020</xdr:colOff>
      <xdr:row>19</xdr:row>
      <xdr:rowOff>87630</xdr:rowOff>
    </xdr:from>
    <xdr:to>
      <xdr:col>10</xdr:col>
      <xdr:colOff>7620</xdr:colOff>
      <xdr:row>34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2DEB35-4D15-685C-5BB1-D3CA94380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zoomScale="135" workbookViewId="0">
      <selection activeCell="G1" sqref="G1:G6"/>
    </sheetView>
  </sheetViews>
  <sheetFormatPr defaultRowHeight="14.4" x14ac:dyDescent="0.3"/>
  <cols>
    <col min="1" max="1" width="14.33203125" bestFit="1" customWidth="1"/>
    <col min="2" max="2" width="14.33203125" customWidth="1"/>
    <col min="3" max="3" width="17.77734375" bestFit="1" customWidth="1"/>
    <col min="4" max="4" width="11.109375" bestFit="1" customWidth="1"/>
    <col min="5" max="5" width="18.109375" bestFit="1" customWidth="1"/>
    <col min="6" max="6" width="12.88671875" bestFit="1" customWidth="1"/>
    <col min="7" max="7" width="10.77734375" bestFit="1" customWidth="1"/>
    <col min="8" max="8" width="8.109375" bestFit="1" customWidth="1"/>
    <col min="9" max="10" width="18.109375" bestFit="1" customWidth="1"/>
    <col min="11" max="11" width="14.88671875" bestFit="1" customWidth="1"/>
  </cols>
  <sheetData>
    <row r="1" spans="1:11" x14ac:dyDescent="0.3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23</v>
      </c>
      <c r="C2" t="s">
        <v>14</v>
      </c>
      <c r="D2" t="s">
        <v>18</v>
      </c>
      <c r="E2" s="2">
        <v>44691</v>
      </c>
      <c r="F2">
        <v>5</v>
      </c>
      <c r="G2">
        <v>50000</v>
      </c>
      <c r="H2">
        <v>0.1</v>
      </c>
      <c r="I2" s="2">
        <v>45444</v>
      </c>
      <c r="J2" s="2">
        <v>45458</v>
      </c>
    </row>
    <row r="3" spans="1:11" x14ac:dyDescent="0.3">
      <c r="A3" t="s">
        <v>11</v>
      </c>
      <c r="B3" t="s">
        <v>24</v>
      </c>
      <c r="C3" t="s">
        <v>15</v>
      </c>
      <c r="D3" t="s">
        <v>19</v>
      </c>
      <c r="E3" s="2">
        <v>44941</v>
      </c>
      <c r="F3">
        <v>12</v>
      </c>
      <c r="G3">
        <v>60000</v>
      </c>
      <c r="H3">
        <v>0.15</v>
      </c>
      <c r="I3" s="2">
        <v>45444</v>
      </c>
      <c r="J3" s="2">
        <v>45461</v>
      </c>
    </row>
    <row r="4" spans="1:11" x14ac:dyDescent="0.3">
      <c r="A4" t="s">
        <v>12</v>
      </c>
      <c r="B4" t="s">
        <v>25</v>
      </c>
      <c r="C4" t="s">
        <v>16</v>
      </c>
      <c r="D4" t="s">
        <v>18</v>
      </c>
      <c r="E4" s="2">
        <v>44378</v>
      </c>
      <c r="F4">
        <v>0</v>
      </c>
      <c r="G4">
        <v>55000</v>
      </c>
      <c r="H4">
        <v>0.1</v>
      </c>
      <c r="I4" s="2">
        <v>45444</v>
      </c>
      <c r="J4" s="2">
        <v>45463</v>
      </c>
    </row>
    <row r="5" spans="1:11" x14ac:dyDescent="0.3">
      <c r="A5" t="s">
        <v>22</v>
      </c>
      <c r="B5" t="s">
        <v>26</v>
      </c>
      <c r="C5" t="s">
        <v>21</v>
      </c>
      <c r="D5" t="s">
        <v>20</v>
      </c>
      <c r="E5" s="2">
        <v>45219</v>
      </c>
      <c r="F5">
        <v>8</v>
      </c>
      <c r="G5">
        <v>45000</v>
      </c>
      <c r="H5">
        <v>0.05</v>
      </c>
      <c r="I5" s="2">
        <v>45444</v>
      </c>
      <c r="J5" s="2">
        <v>45468</v>
      </c>
    </row>
    <row r="6" spans="1:11" x14ac:dyDescent="0.3">
      <c r="A6" t="s">
        <v>13</v>
      </c>
      <c r="B6" t="s">
        <v>27</v>
      </c>
      <c r="C6" t="s">
        <v>17</v>
      </c>
      <c r="D6" t="s">
        <v>19</v>
      </c>
      <c r="E6" s="2">
        <v>43895</v>
      </c>
      <c r="F6">
        <v>2</v>
      </c>
      <c r="G6">
        <v>70000</v>
      </c>
      <c r="H6">
        <v>0.2</v>
      </c>
      <c r="I6" s="2">
        <v>45444</v>
      </c>
      <c r="J6" s="2">
        <v>45473</v>
      </c>
    </row>
    <row r="11" spans="1:11" x14ac:dyDescent="0.3">
      <c r="A11" s="1"/>
      <c r="B11" s="1"/>
    </row>
  </sheetData>
  <dataConsolidate>
    <dataRefs count="3">
      <dataRef ref="A11:B16" sheet="EmployeeData"/>
      <dataRef name="=SUM($A1+$B1)"/>
      <dataRef name="=SUM($A11+$B11)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1818-A550-40EF-809F-570423B5313E}">
  <dimension ref="A1:H19"/>
  <sheetViews>
    <sheetView zoomScale="113" workbookViewId="0">
      <selection activeCell="G12" sqref="G12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10.77734375" bestFit="1" customWidth="1"/>
    <col min="4" max="4" width="8.5546875" bestFit="1" customWidth="1"/>
    <col min="5" max="5" width="10.77734375" bestFit="1" customWidth="1"/>
    <col min="6" max="7" width="18.109375" bestFit="1" customWidth="1"/>
    <col min="8" max="8" width="14.88671875" bestFit="1" customWidth="1"/>
  </cols>
  <sheetData>
    <row r="1" spans="1:8" x14ac:dyDescent="0.3">
      <c r="A1" s="1" t="s">
        <v>0</v>
      </c>
      <c r="B1" s="1" t="s">
        <v>3</v>
      </c>
      <c r="C1" s="1" t="s">
        <v>5</v>
      </c>
      <c r="D1" s="6" t="s">
        <v>40</v>
      </c>
      <c r="E1" s="6" t="s">
        <v>41</v>
      </c>
      <c r="F1" s="7" t="s">
        <v>7</v>
      </c>
      <c r="G1" s="7" t="s">
        <v>8</v>
      </c>
      <c r="H1" t="s">
        <v>43</v>
      </c>
    </row>
    <row r="2" spans="1:8" x14ac:dyDescent="0.3">
      <c r="A2" t="s">
        <v>10</v>
      </c>
      <c r="B2" s="2">
        <v>44691</v>
      </c>
      <c r="C2">
        <v>50000</v>
      </c>
      <c r="D2" s="4">
        <v>0.43314814814814817</v>
      </c>
      <c r="E2" s="3">
        <v>36811</v>
      </c>
      <c r="F2" s="3">
        <v>45444</v>
      </c>
      <c r="G2" s="3">
        <v>45458</v>
      </c>
      <c r="H2">
        <f>DATEDIF(F2,G2,"d")</f>
        <v>14</v>
      </c>
    </row>
    <row r="3" spans="1:8" x14ac:dyDescent="0.3">
      <c r="A3" t="s">
        <v>11</v>
      </c>
      <c r="B3" s="2">
        <v>44941</v>
      </c>
      <c r="C3">
        <v>60000</v>
      </c>
      <c r="F3" s="3">
        <v>45444</v>
      </c>
      <c r="G3" s="3">
        <v>45461</v>
      </c>
      <c r="H3">
        <f t="shared" ref="H3:H6" si="0">DATEDIF(F3,G3,"d")</f>
        <v>17</v>
      </c>
    </row>
    <row r="4" spans="1:8" x14ac:dyDescent="0.3">
      <c r="A4" t="s">
        <v>12</v>
      </c>
      <c r="B4" s="2">
        <v>44378</v>
      </c>
      <c r="C4">
        <v>55000</v>
      </c>
      <c r="F4" s="3">
        <v>45444</v>
      </c>
      <c r="G4" s="3">
        <v>45463</v>
      </c>
      <c r="H4">
        <f t="shared" si="0"/>
        <v>19</v>
      </c>
    </row>
    <row r="5" spans="1:8" x14ac:dyDescent="0.3">
      <c r="A5" t="s">
        <v>22</v>
      </c>
      <c r="B5" s="2">
        <v>45219</v>
      </c>
      <c r="C5">
        <v>45000</v>
      </c>
      <c r="F5" s="3">
        <v>45444</v>
      </c>
      <c r="G5" s="3">
        <v>45468</v>
      </c>
      <c r="H5">
        <f t="shared" si="0"/>
        <v>24</v>
      </c>
    </row>
    <row r="6" spans="1:8" x14ac:dyDescent="0.3">
      <c r="A6" t="s">
        <v>13</v>
      </c>
      <c r="B6" s="2">
        <v>43895</v>
      </c>
      <c r="C6">
        <v>70000</v>
      </c>
      <c r="F6" s="3">
        <v>45444</v>
      </c>
      <c r="G6" s="3">
        <v>45473</v>
      </c>
      <c r="H6">
        <f t="shared" si="0"/>
        <v>29</v>
      </c>
    </row>
    <row r="8" spans="1:8" x14ac:dyDescent="0.3">
      <c r="A8" s="5" t="s">
        <v>38</v>
      </c>
      <c r="B8" s="5"/>
      <c r="C8" s="5"/>
    </row>
    <row r="9" spans="1:8" x14ac:dyDescent="0.3">
      <c r="A9" t="s">
        <v>29</v>
      </c>
      <c r="B9" s="3">
        <f ca="1">TODAY()</f>
        <v>46308</v>
      </c>
    </row>
    <row r="10" spans="1:8" x14ac:dyDescent="0.3">
      <c r="A10" t="s">
        <v>30</v>
      </c>
      <c r="B10" s="3">
        <f ca="1">TODAY()-1</f>
        <v>46307</v>
      </c>
    </row>
    <row r="11" spans="1:8" x14ac:dyDescent="0.3">
      <c r="A11" t="s">
        <v>31</v>
      </c>
      <c r="B11" s="3">
        <f ca="1">TODAY()+1</f>
        <v>46309</v>
      </c>
    </row>
    <row r="12" spans="1:8" x14ac:dyDescent="0.3">
      <c r="A12" t="s">
        <v>33</v>
      </c>
      <c r="B12" s="4">
        <v>0.52386574074074077</v>
      </c>
    </row>
    <row r="13" spans="1:8" x14ac:dyDescent="0.3">
      <c r="A13" t="s">
        <v>34</v>
      </c>
      <c r="B13">
        <f>HOUR(B12)</f>
        <v>12</v>
      </c>
    </row>
    <row r="14" spans="1:8" x14ac:dyDescent="0.3">
      <c r="A14" t="s">
        <v>35</v>
      </c>
      <c r="B14">
        <f>MINUTE(B12)</f>
        <v>34</v>
      </c>
    </row>
    <row r="15" spans="1:8" x14ac:dyDescent="0.3">
      <c r="A15" t="s">
        <v>36</v>
      </c>
      <c r="B15">
        <f>SECOND(B12)</f>
        <v>22</v>
      </c>
    </row>
    <row r="16" spans="1:8" x14ac:dyDescent="0.3">
      <c r="A16" t="s">
        <v>32</v>
      </c>
      <c r="B16">
        <f ca="1">YEAR(B9)</f>
        <v>2026</v>
      </c>
    </row>
    <row r="17" spans="1:2" x14ac:dyDescent="0.3">
      <c r="A17" t="s">
        <v>37</v>
      </c>
      <c r="B17">
        <f ca="1">MONTH(B10)</f>
        <v>10</v>
      </c>
    </row>
    <row r="18" spans="1:2" x14ac:dyDescent="0.3">
      <c r="A18" t="s">
        <v>39</v>
      </c>
      <c r="B18">
        <f ca="1">DATEDIF(E2,TODAY(),"y")</f>
        <v>26</v>
      </c>
    </row>
    <row r="19" spans="1:2" x14ac:dyDescent="0.3">
      <c r="A19" t="s">
        <v>42</v>
      </c>
      <c r="B19">
        <f ca="1">NETWORKDAYS(E2,TODAY())</f>
        <v>6784</v>
      </c>
    </row>
  </sheetData>
  <dataConsolidate leftLabels="1" topLabels="1">
    <dataRefs count="2">
      <dataRef ref="A1:B6" sheet="charts_command"/>
      <dataRef ref="A2:B6" sheet="charts_command"/>
    </dataRefs>
  </dataConsolidate>
  <mergeCells count="1">
    <mergeCell ref="A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4BF8-8BF2-4DB6-9243-57F73057FC7E}">
  <dimension ref="A1:L9"/>
  <sheetViews>
    <sheetView zoomScale="137" workbookViewId="0">
      <selection activeCell="I14" sqref="I14"/>
    </sheetView>
  </sheetViews>
  <sheetFormatPr defaultRowHeight="14.4" x14ac:dyDescent="0.3"/>
  <cols>
    <col min="1" max="1" width="14.33203125" bestFit="1" customWidth="1"/>
    <col min="2" max="2" width="11.21875" bestFit="1" customWidth="1"/>
    <col min="3" max="3" width="6.33203125" bestFit="1" customWidth="1"/>
    <col min="4" max="4" width="10.77734375" bestFit="1" customWidth="1"/>
    <col min="5" max="5" width="11.6640625" bestFit="1" customWidth="1"/>
    <col min="6" max="6" width="11.21875" bestFit="1" customWidth="1"/>
    <col min="7" max="7" width="11.88671875" bestFit="1" customWidth="1"/>
  </cols>
  <sheetData>
    <row r="1" spans="1:12" x14ac:dyDescent="0.3">
      <c r="A1" s="1" t="s">
        <v>0</v>
      </c>
      <c r="B1" s="1" t="s">
        <v>2</v>
      </c>
      <c r="C1" s="1" t="s">
        <v>45</v>
      </c>
      <c r="D1" s="1" t="s">
        <v>5</v>
      </c>
      <c r="E1" s="8" t="s">
        <v>44</v>
      </c>
      <c r="F1" s="8" t="s">
        <v>52</v>
      </c>
      <c r="G1" s="8" t="s">
        <v>53</v>
      </c>
      <c r="H1" s="8" t="s">
        <v>54</v>
      </c>
      <c r="K1" s="5" t="s">
        <v>46</v>
      </c>
      <c r="L1" s="5"/>
    </row>
    <row r="2" spans="1:12" x14ac:dyDescent="0.3">
      <c r="A2" t="s">
        <v>10</v>
      </c>
      <c r="B2" t="s">
        <v>18</v>
      </c>
      <c r="C2">
        <v>3</v>
      </c>
      <c r="D2">
        <v>50000</v>
      </c>
      <c r="E2" t="str">
        <f>IF(D2&gt;50000,"Low","high")</f>
        <v>high</v>
      </c>
      <c r="F2" t="str" cm="1">
        <f t="array" ref="F2">_xlfn.IFS(C2=1,"Excellent",C2=2,"Good",C2=3,"Avge",C2=4,"Fine",C2=5,"Poor")</f>
        <v>Avge</v>
      </c>
      <c r="G2" t="str" cm="1">
        <f t="array" ref="G2">_xlfn.SWITCH(C2,1,"excellent",2,"good",3,"avg",4,"fine",5,"poor")</f>
        <v>avg</v>
      </c>
      <c r="H2" t="str">
        <f>IF(OR(B2="HR",B2="Marketing"),"bonus","no")</f>
        <v>no</v>
      </c>
      <c r="K2">
        <v>1</v>
      </c>
      <c r="L2" t="s">
        <v>47</v>
      </c>
    </row>
    <row r="3" spans="1:12" x14ac:dyDescent="0.3">
      <c r="A3" t="s">
        <v>11</v>
      </c>
      <c r="B3" t="s">
        <v>19</v>
      </c>
      <c r="C3">
        <v>4</v>
      </c>
      <c r="D3">
        <v>60000</v>
      </c>
      <c r="E3" t="str">
        <f t="shared" ref="E3:E6" si="0">IF(D3&gt;50000,"Low","high")</f>
        <v>Low</v>
      </c>
      <c r="F3" t="str" cm="1">
        <f t="array" ref="F3">_xlfn.IFS(C3=1,"Excellent",C3=2,"Good",C3=3,"Avge",C3=4,"Fine",C3=5,"Poor")</f>
        <v>Fine</v>
      </c>
      <c r="G3" t="str" cm="1">
        <f t="array" ref="G3">_xlfn.SWITCH(C3,1,"excellent",2,"good",3,"avg",4,"fine",5,"poor")</f>
        <v>fine</v>
      </c>
      <c r="H3" t="str">
        <f t="shared" ref="H3:H6" si="1">IF(OR(B3="HR",B3="Marketing"),"bonus","no")</f>
        <v>bonus</v>
      </c>
      <c r="K3">
        <v>2</v>
      </c>
      <c r="L3" t="s">
        <v>48</v>
      </c>
    </row>
    <row r="4" spans="1:12" x14ac:dyDescent="0.3">
      <c r="A4" t="s">
        <v>12</v>
      </c>
      <c r="B4" t="s">
        <v>18</v>
      </c>
      <c r="C4">
        <v>3</v>
      </c>
      <c r="D4">
        <v>55000</v>
      </c>
      <c r="E4" t="str">
        <f t="shared" si="0"/>
        <v>Low</v>
      </c>
      <c r="F4" t="str" cm="1">
        <f t="array" ref="F4">_xlfn.IFS(C4=1,"Excellent",C4=2,"Good",C4=3,"Avge",C4=4,"Fine",C4=5,"Poor")</f>
        <v>Avge</v>
      </c>
      <c r="G4" t="str" cm="1">
        <f t="array" ref="G4">_xlfn.SWITCH(C4,1,"excellent",2,"good",3,"avg",4,"fine",5,"poor")</f>
        <v>avg</v>
      </c>
      <c r="H4" t="str">
        <f t="shared" si="1"/>
        <v>no</v>
      </c>
      <c r="K4">
        <v>3</v>
      </c>
      <c r="L4" t="s">
        <v>49</v>
      </c>
    </row>
    <row r="5" spans="1:12" x14ac:dyDescent="0.3">
      <c r="A5" t="s">
        <v>22</v>
      </c>
      <c r="B5" t="s">
        <v>20</v>
      </c>
      <c r="C5">
        <v>2</v>
      </c>
      <c r="D5">
        <v>45000</v>
      </c>
      <c r="E5" t="str">
        <f t="shared" si="0"/>
        <v>high</v>
      </c>
      <c r="F5" t="str" cm="1">
        <f t="array" ref="F5">_xlfn.IFS(C5=1,"Excellent",C5=2,"Good",C5=3,"Avge",C5=4,"Fine",C5=5,"Poor")</f>
        <v>Good</v>
      </c>
      <c r="G5" t="str" cm="1">
        <f t="array" ref="G5">_xlfn.SWITCH(C5,1,"excellent",2,"good",3,"avg",4,"fine",5,"poor")</f>
        <v>good</v>
      </c>
      <c r="H5" t="str">
        <f t="shared" si="1"/>
        <v>bonus</v>
      </c>
      <c r="K5">
        <v>4</v>
      </c>
      <c r="L5" t="s">
        <v>50</v>
      </c>
    </row>
    <row r="6" spans="1:12" x14ac:dyDescent="0.3">
      <c r="A6" t="s">
        <v>13</v>
      </c>
      <c r="B6" t="s">
        <v>19</v>
      </c>
      <c r="C6">
        <v>4</v>
      </c>
      <c r="D6">
        <v>70000</v>
      </c>
      <c r="E6" t="str">
        <f t="shared" si="0"/>
        <v>Low</v>
      </c>
      <c r="F6" t="str" cm="1">
        <f t="array" ref="F6">_xlfn.IFS(C6=1,"Excellent",C6=2,"Good",C6=3,"Avge",C6=4,"Fine",C6=5,"Poor")</f>
        <v>Fine</v>
      </c>
      <c r="G6" t="str" cm="1">
        <f t="array" ref="G6">_xlfn.SWITCH(C6,1,"excellent",2,"good",3,"avg",4,"fine",5,"poor")</f>
        <v>fine</v>
      </c>
      <c r="H6" t="str">
        <f t="shared" si="1"/>
        <v>bonus</v>
      </c>
      <c r="K6">
        <v>5</v>
      </c>
      <c r="L6" t="s">
        <v>51</v>
      </c>
    </row>
    <row r="7" spans="1:12" x14ac:dyDescent="0.3">
      <c r="A7" s="5" t="s">
        <v>55</v>
      </c>
      <c r="B7" s="5"/>
      <c r="C7">
        <f>SUM(C2:C6)</f>
        <v>16</v>
      </c>
      <c r="D7">
        <f>SUM(D2:D6)</f>
        <v>280000</v>
      </c>
    </row>
    <row r="8" spans="1:12" x14ac:dyDescent="0.3">
      <c r="A8" s="5" t="s">
        <v>49</v>
      </c>
      <c r="B8" s="5"/>
      <c r="C8">
        <f>AVERAGE(C2:C6)</f>
        <v>3.2</v>
      </c>
      <c r="D8">
        <f>AVERAGE(D2:D6)</f>
        <v>56000</v>
      </c>
    </row>
    <row r="9" spans="1:12" x14ac:dyDescent="0.3">
      <c r="A9" s="5" t="s">
        <v>56</v>
      </c>
      <c r="B9" s="5"/>
      <c r="C9">
        <f>PRODUCT(C2:C6)</f>
        <v>288</v>
      </c>
    </row>
  </sheetData>
  <mergeCells count="4">
    <mergeCell ref="K1:L1"/>
    <mergeCell ref="A7:B7"/>
    <mergeCell ref="A8:B8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5E40-8BDE-445D-85FF-C42866F07F03}">
  <dimension ref="A1:D21"/>
  <sheetViews>
    <sheetView tabSelected="1" zoomScale="115" zoomScaleNormal="115" workbookViewId="0">
      <selection activeCell="K7" sqref="K7"/>
    </sheetView>
  </sheetViews>
  <sheetFormatPr defaultRowHeight="14.4" outlineLevelRow="2" x14ac:dyDescent="0.3"/>
  <cols>
    <col min="1" max="1" width="15.6640625" bestFit="1" customWidth="1"/>
    <col min="2" max="2" width="11.33203125" bestFit="1" customWidth="1"/>
    <col min="3" max="3" width="10.88671875" bestFit="1" customWidth="1"/>
    <col min="4" max="4" width="11.77734375" bestFit="1" customWidth="1"/>
  </cols>
  <sheetData>
    <row r="1" spans="1:4" x14ac:dyDescent="0.3">
      <c r="A1" s="1" t="s">
        <v>0</v>
      </c>
      <c r="B1" s="1" t="s">
        <v>2</v>
      </c>
      <c r="C1" s="1" t="s">
        <v>5</v>
      </c>
      <c r="D1" s="8" t="s">
        <v>61</v>
      </c>
    </row>
    <row r="2" spans="1:4" outlineLevel="2" x14ac:dyDescent="0.3">
      <c r="A2" t="s">
        <v>13</v>
      </c>
      <c r="B2" t="s">
        <v>19</v>
      </c>
      <c r="C2">
        <v>70000</v>
      </c>
      <c r="D2">
        <v>2</v>
      </c>
    </row>
    <row r="3" spans="1:4" outlineLevel="2" x14ac:dyDescent="0.3">
      <c r="A3" t="s">
        <v>11</v>
      </c>
      <c r="B3" t="s">
        <v>19</v>
      </c>
      <c r="C3">
        <v>60000</v>
      </c>
      <c r="D3">
        <v>12</v>
      </c>
    </row>
    <row r="4" spans="1:4" outlineLevel="1" x14ac:dyDescent="0.3">
      <c r="B4" s="9" t="s">
        <v>65</v>
      </c>
      <c r="C4">
        <f>SUBTOTAL(9,C2:C3)</f>
        <v>130000</v>
      </c>
    </row>
    <row r="5" spans="1:4" outlineLevel="2" x14ac:dyDescent="0.3">
      <c r="A5" t="s">
        <v>12</v>
      </c>
      <c r="B5" t="s">
        <v>18</v>
      </c>
      <c r="C5">
        <v>55000</v>
      </c>
      <c r="D5">
        <v>0</v>
      </c>
    </row>
    <row r="6" spans="1:4" outlineLevel="2" x14ac:dyDescent="0.3">
      <c r="A6" t="s">
        <v>10</v>
      </c>
      <c r="B6" t="s">
        <v>18</v>
      </c>
      <c r="C6">
        <v>50000</v>
      </c>
      <c r="D6">
        <v>5</v>
      </c>
    </row>
    <row r="7" spans="1:4" outlineLevel="1" x14ac:dyDescent="0.3">
      <c r="B7" s="9" t="s">
        <v>66</v>
      </c>
      <c r="C7">
        <f>SUBTOTAL(9,C5:C6)</f>
        <v>105000</v>
      </c>
    </row>
    <row r="8" spans="1:4" outlineLevel="2" x14ac:dyDescent="0.3">
      <c r="A8" t="s">
        <v>22</v>
      </c>
      <c r="B8" t="s">
        <v>20</v>
      </c>
      <c r="C8">
        <v>45000</v>
      </c>
      <c r="D8">
        <v>8</v>
      </c>
    </row>
    <row r="9" spans="1:4" outlineLevel="1" x14ac:dyDescent="0.3">
      <c r="B9" s="9" t="s">
        <v>67</v>
      </c>
      <c r="C9">
        <f>SUBTOTAL(9,C8:C8)</f>
        <v>45000</v>
      </c>
    </row>
    <row r="10" spans="1:4" x14ac:dyDescent="0.3">
      <c r="B10" s="9" t="s">
        <v>64</v>
      </c>
      <c r="C10">
        <f>SUBTOTAL(9,C2:C8)</f>
        <v>280000</v>
      </c>
    </row>
    <row r="12" spans="1:4" x14ac:dyDescent="0.3">
      <c r="A12" s="5" t="s">
        <v>59</v>
      </c>
      <c r="B12" s="5"/>
      <c r="C12" s="5"/>
      <c r="D12">
        <f>VLOOKUP("John Doe",A1:C8,3,FALSE)</f>
        <v>50000</v>
      </c>
    </row>
    <row r="13" spans="1:4" x14ac:dyDescent="0.3">
      <c r="A13" s="5" t="s">
        <v>58</v>
      </c>
      <c r="B13" s="5"/>
      <c r="C13" s="5"/>
      <c r="D13">
        <f>HLOOKUP("Basic Salary",A1:C8,3,FALSE)</f>
        <v>60000</v>
      </c>
    </row>
    <row r="14" spans="1:4" x14ac:dyDescent="0.3">
      <c r="A14" s="5" t="s">
        <v>60</v>
      </c>
      <c r="B14" s="5"/>
      <c r="C14" s="5"/>
      <c r="D14">
        <f>INDEX(C1:C8,MATCH("jane smith",A1:A8))</f>
        <v>45000</v>
      </c>
    </row>
    <row r="15" spans="1:4" x14ac:dyDescent="0.3">
      <c r="A15" s="5" t="s">
        <v>57</v>
      </c>
      <c r="B15" s="5"/>
      <c r="C15" s="5"/>
      <c r="D15">
        <f>_xlfn.XLOOKUP("Bob Brown",A1:A8,C1:C8)</f>
        <v>45000</v>
      </c>
    </row>
    <row r="16" spans="1:4" x14ac:dyDescent="0.3">
      <c r="A16" s="5" t="s">
        <v>62</v>
      </c>
      <c r="B16" s="5"/>
      <c r="C16" s="5"/>
      <c r="D16" t="str">
        <f>IFERROR(LOOKUP(52000,C1:C8,A1:A8),"NOT FOUND")</f>
        <v>NOT FOUND</v>
      </c>
    </row>
    <row r="18" spans="1:4" x14ac:dyDescent="0.3">
      <c r="A18" s="5" t="s">
        <v>63</v>
      </c>
      <c r="B18" s="5"/>
      <c r="C18" s="5"/>
      <c r="D18" s="5"/>
    </row>
    <row r="19" spans="1:4" x14ac:dyDescent="0.3">
      <c r="A19" s="5"/>
      <c r="B19" s="5"/>
      <c r="C19" s="5"/>
      <c r="D19" s="5"/>
    </row>
    <row r="20" spans="1:4" x14ac:dyDescent="0.3">
      <c r="A20" s="1" t="s">
        <v>2</v>
      </c>
    </row>
    <row r="21" spans="1:4" x14ac:dyDescent="0.3">
      <c r="A21" t="s">
        <v>19</v>
      </c>
    </row>
  </sheetData>
  <sortState xmlns:xlrd2="http://schemas.microsoft.com/office/spreadsheetml/2017/richdata2" ref="A2:D8">
    <sortCondition ref="A2:A8"/>
  </sortState>
  <mergeCells count="6">
    <mergeCell ref="A12:C12"/>
    <mergeCell ref="A13:C13"/>
    <mergeCell ref="A14:C14"/>
    <mergeCell ref="A15:C15"/>
    <mergeCell ref="A16:C16"/>
    <mergeCell ref="A18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EmployeeData</vt:lpstr>
      <vt:lpstr>charts_command</vt:lpstr>
      <vt:lpstr>conditions</vt:lpstr>
      <vt:lpstr>LOOKUP</vt:lpstr>
      <vt:lpstr>LOOKUP!Criteria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YADAV PRIYANSI</cp:lastModifiedBy>
  <dcterms:created xsi:type="dcterms:W3CDTF">2025-06-26T08:34:41Z</dcterms:created>
  <dcterms:modified xsi:type="dcterms:W3CDTF">2026-10-13T16:06:50Z</dcterms:modified>
</cp:coreProperties>
</file>